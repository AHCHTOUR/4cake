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andes" sheetId="1" state="visible" r:id="rId3"/>
    <sheet name="Tableau de bord" sheetId="2" state="visible" r:id="rId4"/>
    <sheet name="Mode d'emplo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<sst xmlns="http://schemas.openxmlformats.org/spreadsheetml/2006/main" count="46" uniqueCount="46">
  <si>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ID</t>
  </si>
  <si>
    <t xml:space="preserve">Date de la demande</t>
  </si>
  <si>
    <t xml:space="preserve">Société / Raison sociale</t>
  </si>
  <si>
    <t xml:space="preserve">Nom du contact</t>
  </si>
  <si>
    <t xml:space="preserve">Téléphone</t>
  </si>
  <si>
    <t xml:space="preserve">Ville</t>
  </si>
  <si>
    <t xml:space="preserve">Fréquence de commande</t>
  </si>
  <si>
    <t xml:space="preserve">Produits demandés</t>
  </si>
  <si>
    <t xml:space="preserve">Montant estimé (MAD)</t>
  </si>
  <si>
    <t xml:space="preserve">Message / précisions</t>
  </si>
  <si>
    <t xml:space="preserve">Statut</t>
  </si>
  <si>
    <t xml:space="preserve">Notes internes</t>
  </si>
  <si>
    <t xml:space="preserve">2026-07-29</t>
  </si>
  <si>
    <t xml:space="preserve">Pâtisserie El Amal</t>
  </si>
  <si>
    <t xml:space="preserve">Karim Benali</t>
  </si>
  <si>
    <t xml:space="preserve">0661 23 45 67</t>
  </si>
  <si>
    <t xml:space="preserve">Marrakech</t>
  </si>
  <si>
    <t xml:space="preserve">Mensuelle</t>
  </si>
  <si>
    <t xml:space="preserve">Feuilletine chocolat x2; Nappage caramel x1</t>
  </si>
  <si>
    <t xml:space="preserve">Livraison souhaitée avant le 15 du mois</t>
  </si>
  <si>
    <t xml:space="preserve">Nouveau</t>
  </si>
  <si>
    <t xml:space="preserve">Exemple — à remplacer par vos vraies demandes</t>
  </si>
  <si>
    <t xml:space="preserve">Tableau de bord — Demandes 4Cake</t>
  </si>
  <si>
    <t xml:space="preserve">Total des demandes reçues</t>
  </si>
  <si>
    <t xml:space="preserve">Nouvelles (à traiter)</t>
  </si>
  <si>
    <t xml:space="preserve">Contactées</t>
  </si>
  <si>
    <t xml:space="preserve">Devis envoyés</t>
  </si>
  <si>
    <t xml:space="preserve">Confirmées</t>
  </si>
  <si>
    <t xml:space="preserve">Perdues</t>
  </si>
  <si>
    <t xml:space="preserve">Montant total estimé — confirmées (MAD)</t>
  </si>
  <si>
    <t xml:space="preserve">Montant total estimé — en cours (MAD)</t>
  </si>
  <si>
    <t xml:space="preserve">Mode d'emploi — Suivi des demandes de devis 4Cake</t>
  </si>
  <si>
    <t xml:space="preserve">1. Onglet "Demandes" : à chaque nouvelle demande reçue par WhatsApp, ajoutez une ligne.</t>
  </si>
  <si>
    <t xml:space="preserve">   - Colonnes en clair (fond crème, ligne 2) : exemple à remplacer par vos vraies données.</t>
  </si>
  <si>
    <t xml:space="preserve">   - Colonne "Statut" : liste déroulante (Nouveau / Contacté / Devis envoyé / Confirmé / Perdu).</t>
  </si>
  <si>
    <t xml:space="preserve">   - Le tableau va jusqu'à la ligne 500 — au-delà, sélectionnez et étirez la mise en forme.</t>
  </si>
  <si>
    <t xml:space="preserve">2. Onglet "Tableau de bord" : se met à jour automatiquement à partir de l'onglet Demandes.</t>
  </si>
  <si>
    <t xml:space="preserve">   Aucune saisie à faire ici — uniquement des formules de synthèse.</t>
  </si>
  <si>
    <t xml:space="preserve">3. D'où viennent les données ?</t>
  </si>
  <si>
    <t xml:space="preserve">   Le site web (formulaire "Demande de devis") envoie un message WhatsApp pré-rempli avec :</t>
  </si>
  <si>
    <t xml:space="preserve">   société, contact, téléphone, ville, fréquence, produits sélectionnés, montant estimé et message.</t>
  </si>
  <si>
    <t xml:space="preserve">   Il vous suffit de reporter ces informations dans une nouvelle ligne de cet onglet.</t>
  </si>
  <si>
    <t xml:space="preserve">   Note : le site étant hébergé sans base de données (GitHub Pages), il n'existe pas aujourd'hui</t>
  </si>
  <si>
    <t xml:space="preserve">   de remplissage automatique de ce fichier. Ce classeur sert de journal manuel centralisé.</t>
  </si>
  <si>
    <t xml:space="preserve">   Une évolution possible plus tard : brancher le formulaire à Google Sheets pour un remplissage</t>
  </si>
  <si>
    <t xml:space="preserve">   automatique — je peux vous accompagner sur cette étape si vous le souhaitez.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</si>
</sst>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#,##0&quot; MAD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3E2A1E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C97A3D"/>
      <name val="Arial"/>
      <family val="0"/>
      <charset val="1"/>
    </font>
    <font>
      <b val="true"/>
      <sz val="13"/>
      <color rgb="FF3E2A1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3E2A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E2A1E"/>
        <bgColor rgb="FF333300"/>
      </patternFill>
    </fill>
    <fill>
      <patternFill patternType="solid">
        <fgColor rgb="FFFFF3E0"/>
        <bgColor rgb="FFFFF3CD"/>
      </patternFill>
    </fill>
    <fill>
      <patternFill patternType="solid">
        <fgColor rgb="FFF7E9DD"/>
        <bgColor rgb="FFFFF3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3E2A1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FFF3CD"/>
        </patternFill>
      </fill>
    </dxf>
    <dxf>
      <fill>
        <patternFill>
          <bgColor rgb="FFCCE5FF"/>
        </patternFill>
      </fill>
    </dxf>
    <dxf>
      <fill>
        <patternFill>
          <bgColor rgb="FFD6C6F0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E5FF"/>
      <rgbColor rgb="FF660066"/>
      <rgbColor rgb="FFC97A3D"/>
      <rgbColor rgb="FF0066CC"/>
      <rgbColor rgb="FFD6C6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E9DD"/>
      <rgbColor rgb="FFD4EDDA"/>
      <rgbColor rgb="FFFFF3E0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E2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Demandes" displayName="TblDemandes" ref="A1:L500" headerRowCount="1" totalsRowCount="0" totalsRowShown="0">
  <autoFilter ref="A1:L500"/>
  <tableColumns count="12">
    <tableColumn id="1" name="ID"/>
    <tableColumn id="2" name="Date de la demande"/>
    <tableColumn id="3" name="Société / Raison sociale"/>
    <tableColumn id="4" name="Nom du contact"/>
    <tableColumn id="5" name="Téléphone"/>
    <tableColumn id="6" name="Ville"/>
    <tableColumn id="7" name="Fréquence de commande"/>
    <tableColumn id="8" name="Produits demandés"/>
    <tableColumn id="9" name="Montant estimé (MAD)"/>
    <tableColumn id="10" name="Message / précisions"/>
    <tableColumn id="11" name="Statut"/>
    <tableColumn id="12" name="Notes intern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18"/>
    <col collapsed="false" customWidth="true" hidden="false" outlineLevel="0" max="10" min="10" style="1" width="30"/>
    <col collapsed="false" customWidth="true" hidden="false" outlineLevel="0" max="11" min="11" style="1" width="14"/>
    <col collapsed="false" customWidth="true" hidden="false" outlineLevel="0" max="12" min="12" style="1" width="26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n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 t="n">
        <v>690</v>
      </c>
      <c r="J2" s="3" t="s">
        <v>19</v>
      </c>
      <c r="K2" s="3" t="s">
        <v>20</v>
      </c>
      <c r="L2" s="3" t="s">
        <v>21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6"/>
      <c r="J3" s="5"/>
      <c r="K3" s="5"/>
      <c r="L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6"/>
      <c r="J4" s="5"/>
      <c r="K4" s="5"/>
      <c r="L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6"/>
      <c r="J5" s="5"/>
      <c r="K5" s="5"/>
      <c r="L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6"/>
      <c r="J6" s="5"/>
      <c r="K6" s="5"/>
      <c r="L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6"/>
      <c r="J7" s="5"/>
      <c r="K7" s="5"/>
      <c r="L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6"/>
      <c r="J8" s="5"/>
      <c r="K8" s="5"/>
      <c r="L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6"/>
      <c r="J9" s="5"/>
      <c r="K9" s="5"/>
      <c r="L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6"/>
      <c r="J10" s="5"/>
      <c r="K10" s="5"/>
      <c r="L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6"/>
      <c r="J11" s="5"/>
      <c r="K11" s="5"/>
      <c r="L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6"/>
      <c r="J12" s="5"/>
      <c r="K12" s="5"/>
      <c r="L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6"/>
      <c r="J13" s="5"/>
      <c r="K13" s="5"/>
      <c r="L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6"/>
      <c r="J14" s="5"/>
      <c r="K14" s="5"/>
      <c r="L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6"/>
      <c r="J15" s="5"/>
      <c r="K15" s="5"/>
      <c r="L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6"/>
      <c r="J16" s="5"/>
      <c r="K16" s="5"/>
      <c r="L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6"/>
      <c r="J17" s="5"/>
      <c r="K17" s="5"/>
      <c r="L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6"/>
      <c r="J18" s="5"/>
      <c r="K18" s="5"/>
      <c r="L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6"/>
      <c r="J19" s="5"/>
      <c r="K19" s="5"/>
      <c r="L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6"/>
      <c r="J20" s="5"/>
      <c r="K20" s="5"/>
      <c r="L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6"/>
      <c r="J21" s="5"/>
      <c r="K21" s="5"/>
      <c r="L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6"/>
      <c r="J22" s="5"/>
      <c r="K22" s="5"/>
      <c r="L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6"/>
      <c r="J23" s="5"/>
      <c r="K23" s="5"/>
      <c r="L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6"/>
      <c r="J24" s="5"/>
      <c r="K24" s="5"/>
      <c r="L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6"/>
      <c r="J25" s="5"/>
      <c r="K25" s="5"/>
      <c r="L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6"/>
      <c r="J26" s="5"/>
      <c r="K26" s="5"/>
      <c r="L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6"/>
      <c r="J27" s="5"/>
      <c r="K27" s="5"/>
      <c r="L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6"/>
      <c r="J28" s="5"/>
      <c r="K28" s="5"/>
      <c r="L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6"/>
      <c r="J29" s="5"/>
      <c r="K29" s="5"/>
      <c r="L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6"/>
      <c r="J30" s="5"/>
      <c r="K30" s="5"/>
      <c r="L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6"/>
      <c r="J31" s="5"/>
      <c r="K31" s="5"/>
      <c r="L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6"/>
      <c r="J32" s="5"/>
      <c r="K32" s="5"/>
      <c r="L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6"/>
      <c r="J33" s="5"/>
      <c r="K33" s="5"/>
      <c r="L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6"/>
      <c r="J34" s="5"/>
      <c r="K34" s="5"/>
      <c r="L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6"/>
      <c r="J35" s="5"/>
      <c r="K35" s="5"/>
      <c r="L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6"/>
      <c r="J36" s="5"/>
      <c r="K36" s="5"/>
      <c r="L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6"/>
      <c r="J37" s="5"/>
      <c r="K37" s="5"/>
      <c r="L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6"/>
      <c r="J38" s="5"/>
      <c r="K38" s="5"/>
      <c r="L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6"/>
      <c r="J39" s="5"/>
      <c r="K39" s="5"/>
      <c r="L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6"/>
      <c r="J40" s="5"/>
      <c r="K40" s="5"/>
      <c r="L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6"/>
      <c r="J41" s="5"/>
      <c r="K41" s="5"/>
      <c r="L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6"/>
      <c r="J42" s="5"/>
      <c r="K42" s="5"/>
      <c r="L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6"/>
      <c r="J43" s="5"/>
      <c r="K43" s="5"/>
      <c r="L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6"/>
      <c r="J44" s="5"/>
      <c r="K44" s="5"/>
      <c r="L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6"/>
      <c r="J45" s="5"/>
      <c r="K45" s="5"/>
      <c r="L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6"/>
      <c r="J46" s="5"/>
      <c r="K46" s="5"/>
      <c r="L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6"/>
      <c r="J47" s="5"/>
      <c r="K47" s="5"/>
      <c r="L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6"/>
      <c r="J48" s="5"/>
      <c r="K48" s="5"/>
      <c r="L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6"/>
      <c r="J49" s="5"/>
      <c r="K49" s="5"/>
      <c r="L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6"/>
      <c r="J50" s="5"/>
      <c r="K50" s="5"/>
      <c r="L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6"/>
      <c r="J51" s="5"/>
      <c r="K51" s="5"/>
      <c r="L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6"/>
      <c r="J52" s="5"/>
      <c r="K52" s="5"/>
      <c r="L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6"/>
      <c r="J53" s="5"/>
      <c r="K53" s="5"/>
      <c r="L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6"/>
      <c r="J54" s="5"/>
      <c r="K54" s="5"/>
      <c r="L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6"/>
      <c r="J55" s="5"/>
      <c r="K55" s="5"/>
      <c r="L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6"/>
      <c r="J56" s="5"/>
      <c r="K56" s="5"/>
      <c r="L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6"/>
      <c r="J57" s="5"/>
      <c r="K57" s="5"/>
      <c r="L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6"/>
      <c r="J58" s="5"/>
      <c r="K58" s="5"/>
      <c r="L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6"/>
      <c r="J59" s="5"/>
      <c r="K59" s="5"/>
      <c r="L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6"/>
      <c r="J60" s="5"/>
      <c r="K60" s="5"/>
      <c r="L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6"/>
      <c r="J61" s="5"/>
      <c r="K61" s="5"/>
      <c r="L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6"/>
      <c r="J62" s="5"/>
      <c r="K62" s="5"/>
      <c r="L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6"/>
      <c r="J63" s="5"/>
      <c r="K63" s="5"/>
      <c r="L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6"/>
      <c r="J64" s="5"/>
      <c r="K64" s="5"/>
      <c r="L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6"/>
      <c r="J65" s="5"/>
      <c r="K65" s="5"/>
      <c r="L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6"/>
      <c r="J66" s="5"/>
      <c r="K66" s="5"/>
      <c r="L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6"/>
      <c r="J67" s="5"/>
      <c r="K67" s="5"/>
      <c r="L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6"/>
      <c r="J68" s="5"/>
      <c r="K68" s="5"/>
      <c r="L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6"/>
      <c r="J69" s="5"/>
      <c r="K69" s="5"/>
      <c r="L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6"/>
      <c r="J70" s="5"/>
      <c r="K70" s="5"/>
      <c r="L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6"/>
      <c r="J71" s="5"/>
      <c r="K71" s="5"/>
      <c r="L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6"/>
      <c r="J72" s="5"/>
      <c r="K72" s="5"/>
      <c r="L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6"/>
      <c r="J73" s="5"/>
      <c r="K73" s="5"/>
      <c r="L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6"/>
      <c r="J74" s="5"/>
      <c r="K74" s="5"/>
      <c r="L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6"/>
      <c r="J75" s="5"/>
      <c r="K75" s="5"/>
      <c r="L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6"/>
      <c r="J76" s="5"/>
      <c r="K76" s="5"/>
      <c r="L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6"/>
      <c r="J77" s="5"/>
      <c r="K77" s="5"/>
      <c r="L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6"/>
      <c r="J78" s="5"/>
      <c r="K78" s="5"/>
      <c r="L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6"/>
      <c r="J79" s="5"/>
      <c r="K79" s="5"/>
      <c r="L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6"/>
      <c r="J80" s="5"/>
      <c r="K80" s="5"/>
      <c r="L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6"/>
      <c r="J81" s="5"/>
      <c r="K81" s="5"/>
      <c r="L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6"/>
      <c r="J82" s="5"/>
      <c r="K82" s="5"/>
      <c r="L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6"/>
      <c r="J83" s="5"/>
      <c r="K83" s="5"/>
      <c r="L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6"/>
      <c r="J84" s="5"/>
      <c r="K84" s="5"/>
      <c r="L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6"/>
      <c r="J85" s="5"/>
      <c r="K85" s="5"/>
      <c r="L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6"/>
      <c r="J86" s="5"/>
      <c r="K86" s="5"/>
      <c r="L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6"/>
      <c r="J87" s="5"/>
      <c r="K87" s="5"/>
      <c r="L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6"/>
      <c r="J88" s="5"/>
      <c r="K88" s="5"/>
      <c r="L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6"/>
      <c r="J89" s="5"/>
      <c r="K89" s="5"/>
      <c r="L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6"/>
      <c r="J90" s="5"/>
      <c r="K90" s="5"/>
      <c r="L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6"/>
      <c r="J91" s="5"/>
      <c r="K91" s="5"/>
      <c r="L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6"/>
      <c r="J92" s="5"/>
      <c r="K92" s="5"/>
      <c r="L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6"/>
      <c r="J93" s="5"/>
      <c r="K93" s="5"/>
      <c r="L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6"/>
      <c r="J94" s="5"/>
      <c r="K94" s="5"/>
      <c r="L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6"/>
      <c r="J95" s="5"/>
      <c r="K95" s="5"/>
      <c r="L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6"/>
      <c r="J96" s="5"/>
      <c r="K96" s="5"/>
      <c r="L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6"/>
      <c r="J97" s="5"/>
      <c r="K97" s="5"/>
      <c r="L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6"/>
      <c r="J98" s="5"/>
      <c r="K98" s="5"/>
      <c r="L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6"/>
      <c r="J99" s="5"/>
      <c r="K99" s="5"/>
      <c r="L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6"/>
      <c r="J100" s="5"/>
      <c r="K100" s="5"/>
      <c r="L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6"/>
      <c r="J101" s="5"/>
      <c r="K101" s="5"/>
      <c r="L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6"/>
      <c r="J102" s="5"/>
      <c r="K102" s="5"/>
      <c r="L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6"/>
      <c r="J103" s="5"/>
      <c r="K103" s="5"/>
      <c r="L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6"/>
      <c r="J104" s="5"/>
      <c r="K104" s="5"/>
      <c r="L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6"/>
      <c r="J105" s="5"/>
      <c r="K105" s="5"/>
      <c r="L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6"/>
      <c r="J106" s="5"/>
      <c r="K106" s="5"/>
      <c r="L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6"/>
      <c r="J107" s="5"/>
      <c r="K107" s="5"/>
      <c r="L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6"/>
      <c r="J108" s="5"/>
      <c r="K108" s="5"/>
      <c r="L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6"/>
      <c r="J109" s="5"/>
      <c r="K109" s="5"/>
      <c r="L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6"/>
      <c r="J110" s="5"/>
      <c r="K110" s="5"/>
      <c r="L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6"/>
      <c r="J111" s="5"/>
      <c r="K111" s="5"/>
      <c r="L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6"/>
      <c r="J112" s="5"/>
      <c r="K112" s="5"/>
      <c r="L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6"/>
      <c r="J113" s="5"/>
      <c r="K113" s="5"/>
      <c r="L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6"/>
      <c r="J114" s="5"/>
      <c r="K114" s="5"/>
      <c r="L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6"/>
      <c r="J115" s="5"/>
      <c r="K115" s="5"/>
      <c r="L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6"/>
      <c r="J116" s="5"/>
      <c r="K116" s="5"/>
      <c r="L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6"/>
      <c r="J117" s="5"/>
      <c r="K117" s="5"/>
      <c r="L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6"/>
      <c r="J118" s="5"/>
      <c r="K118" s="5"/>
      <c r="L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6"/>
      <c r="J119" s="5"/>
      <c r="K119" s="5"/>
      <c r="L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6"/>
      <c r="J120" s="5"/>
      <c r="K120" s="5"/>
      <c r="L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6"/>
      <c r="J121" s="5"/>
      <c r="K121" s="5"/>
      <c r="L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6"/>
      <c r="J122" s="5"/>
      <c r="K122" s="5"/>
      <c r="L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6"/>
      <c r="J123" s="5"/>
      <c r="K123" s="5"/>
      <c r="L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6"/>
      <c r="J124" s="5"/>
      <c r="K124" s="5"/>
      <c r="L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6"/>
      <c r="J125" s="5"/>
      <c r="K125" s="5"/>
      <c r="L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6"/>
      <c r="J126" s="5"/>
      <c r="K126" s="5"/>
      <c r="L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6"/>
      <c r="J127" s="5"/>
      <c r="K127" s="5"/>
      <c r="L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6"/>
      <c r="J128" s="5"/>
      <c r="K128" s="5"/>
      <c r="L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6"/>
      <c r="J129" s="5"/>
      <c r="K129" s="5"/>
      <c r="L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6"/>
      <c r="J130" s="5"/>
      <c r="K130" s="5"/>
      <c r="L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6"/>
      <c r="J131" s="5"/>
      <c r="K131" s="5"/>
      <c r="L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6"/>
      <c r="J132" s="5"/>
      <c r="K132" s="5"/>
      <c r="L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6"/>
      <c r="J133" s="5"/>
      <c r="K133" s="5"/>
      <c r="L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6"/>
      <c r="J134" s="5"/>
      <c r="K134" s="5"/>
      <c r="L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6"/>
      <c r="J135" s="5"/>
      <c r="K135" s="5"/>
      <c r="L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6"/>
      <c r="J136" s="5"/>
      <c r="K136" s="5"/>
      <c r="L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6"/>
      <c r="J137" s="5"/>
      <c r="K137" s="5"/>
      <c r="L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6"/>
      <c r="J138" s="5"/>
      <c r="K138" s="5"/>
      <c r="L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6"/>
      <c r="J139" s="5"/>
      <c r="K139" s="5"/>
      <c r="L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6"/>
      <c r="J140" s="5"/>
      <c r="K140" s="5"/>
      <c r="L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6"/>
      <c r="J141" s="5"/>
      <c r="K141" s="5"/>
      <c r="L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6"/>
      <c r="J142" s="5"/>
      <c r="K142" s="5"/>
      <c r="L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6"/>
      <c r="J143" s="5"/>
      <c r="K143" s="5"/>
      <c r="L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6"/>
      <c r="J144" s="5"/>
      <c r="K144" s="5"/>
      <c r="L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6"/>
      <c r="J145" s="5"/>
      <c r="K145" s="5"/>
      <c r="L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6"/>
      <c r="J146" s="5"/>
      <c r="K146" s="5"/>
      <c r="L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6"/>
      <c r="J147" s="5"/>
      <c r="K147" s="5"/>
      <c r="L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6"/>
      <c r="J148" s="5"/>
      <c r="K148" s="5"/>
      <c r="L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6"/>
      <c r="J149" s="5"/>
      <c r="K149" s="5"/>
      <c r="L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6"/>
      <c r="J150" s="5"/>
      <c r="K150" s="5"/>
      <c r="L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6"/>
      <c r="J151" s="5"/>
      <c r="K151" s="5"/>
      <c r="L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6"/>
      <c r="J152" s="5"/>
      <c r="K152" s="5"/>
      <c r="L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6"/>
      <c r="J153" s="5"/>
      <c r="K153" s="5"/>
      <c r="L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6"/>
      <c r="J154" s="5"/>
      <c r="K154" s="5"/>
      <c r="L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6"/>
      <c r="J155" s="5"/>
      <c r="K155" s="5"/>
      <c r="L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6"/>
      <c r="J156" s="5"/>
      <c r="K156" s="5"/>
      <c r="L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6"/>
      <c r="J157" s="5"/>
      <c r="K157" s="5"/>
      <c r="L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6"/>
      <c r="J158" s="5"/>
      <c r="K158" s="5"/>
      <c r="L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6"/>
      <c r="J159" s="5"/>
      <c r="K159" s="5"/>
      <c r="L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6"/>
      <c r="J160" s="5"/>
      <c r="K160" s="5"/>
      <c r="L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6"/>
      <c r="J161" s="5"/>
      <c r="K161" s="5"/>
      <c r="L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6"/>
      <c r="J162" s="5"/>
      <c r="K162" s="5"/>
      <c r="L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6"/>
      <c r="J163" s="5"/>
      <c r="K163" s="5"/>
      <c r="L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6"/>
      <c r="J164" s="5"/>
      <c r="K164" s="5"/>
      <c r="L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6"/>
      <c r="J165" s="5"/>
      <c r="K165" s="5"/>
      <c r="L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6"/>
      <c r="J166" s="5"/>
      <c r="K166" s="5"/>
      <c r="L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6"/>
      <c r="J167" s="5"/>
      <c r="K167" s="5"/>
      <c r="L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6"/>
      <c r="J168" s="5"/>
      <c r="K168" s="5"/>
      <c r="L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6"/>
      <c r="J169" s="5"/>
      <c r="K169" s="5"/>
      <c r="L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6"/>
      <c r="J170" s="5"/>
      <c r="K170" s="5"/>
      <c r="L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6"/>
      <c r="J171" s="5"/>
      <c r="K171" s="5"/>
      <c r="L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6"/>
      <c r="J172" s="5"/>
      <c r="K172" s="5"/>
      <c r="L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6"/>
      <c r="J173" s="5"/>
      <c r="K173" s="5"/>
      <c r="L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6"/>
      <c r="J174" s="5"/>
      <c r="K174" s="5"/>
      <c r="L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6"/>
      <c r="J175" s="5"/>
      <c r="K175" s="5"/>
      <c r="L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6"/>
      <c r="J176" s="5"/>
      <c r="K176" s="5"/>
      <c r="L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6"/>
      <c r="J177" s="5"/>
      <c r="K177" s="5"/>
      <c r="L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6"/>
      <c r="J178" s="5"/>
      <c r="K178" s="5"/>
      <c r="L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6"/>
      <c r="J179" s="5"/>
      <c r="K179" s="5"/>
      <c r="L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6"/>
      <c r="J180" s="5"/>
      <c r="K180" s="5"/>
      <c r="L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6"/>
      <c r="J181" s="5"/>
      <c r="K181" s="5"/>
      <c r="L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6"/>
      <c r="J182" s="5"/>
      <c r="K182" s="5"/>
      <c r="L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6"/>
      <c r="J183" s="5"/>
      <c r="K183" s="5"/>
      <c r="L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6"/>
      <c r="J184" s="5"/>
      <c r="K184" s="5"/>
      <c r="L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6"/>
      <c r="J185" s="5"/>
      <c r="K185" s="5"/>
      <c r="L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6"/>
      <c r="J186" s="5"/>
      <c r="K186" s="5"/>
      <c r="L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6"/>
      <c r="J187" s="5"/>
      <c r="K187" s="5"/>
      <c r="L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6"/>
      <c r="J188" s="5"/>
      <c r="K188" s="5"/>
      <c r="L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6"/>
      <c r="J189" s="5"/>
      <c r="K189" s="5"/>
      <c r="L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6"/>
      <c r="J190" s="5"/>
      <c r="K190" s="5"/>
      <c r="L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6"/>
      <c r="J191" s="5"/>
      <c r="K191" s="5"/>
      <c r="L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6"/>
      <c r="J192" s="5"/>
      <c r="K192" s="5"/>
      <c r="L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6"/>
      <c r="J193" s="5"/>
      <c r="K193" s="5"/>
      <c r="L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6"/>
      <c r="J194" s="5"/>
      <c r="K194" s="5"/>
      <c r="L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6"/>
      <c r="J195" s="5"/>
      <c r="K195" s="5"/>
      <c r="L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6"/>
      <c r="J196" s="5"/>
      <c r="K196" s="5"/>
      <c r="L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6"/>
      <c r="J197" s="5"/>
      <c r="K197" s="5"/>
      <c r="L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6"/>
      <c r="J198" s="5"/>
      <c r="K198" s="5"/>
      <c r="L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6"/>
      <c r="J199" s="5"/>
      <c r="K199" s="5"/>
      <c r="L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6"/>
      <c r="J200" s="5"/>
      <c r="K200" s="5"/>
      <c r="L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6"/>
      <c r="J201" s="5"/>
      <c r="K201" s="5"/>
      <c r="L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6"/>
      <c r="J202" s="5"/>
      <c r="K202" s="5"/>
      <c r="L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6"/>
      <c r="J203" s="5"/>
      <c r="K203" s="5"/>
      <c r="L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6"/>
      <c r="J204" s="5"/>
      <c r="K204" s="5"/>
      <c r="L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6"/>
      <c r="J205" s="5"/>
      <c r="K205" s="5"/>
      <c r="L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6"/>
      <c r="J206" s="5"/>
      <c r="K206" s="5"/>
      <c r="L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6"/>
      <c r="J207" s="5"/>
      <c r="K207" s="5"/>
      <c r="L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6"/>
      <c r="J208" s="5"/>
      <c r="K208" s="5"/>
      <c r="L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6"/>
      <c r="J209" s="5"/>
      <c r="K209" s="5"/>
      <c r="L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6"/>
      <c r="J210" s="5"/>
      <c r="K210" s="5"/>
      <c r="L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6"/>
      <c r="J211" s="5"/>
      <c r="K211" s="5"/>
      <c r="L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6"/>
      <c r="J212" s="5"/>
      <c r="K212" s="5"/>
      <c r="L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6"/>
      <c r="J213" s="5"/>
      <c r="K213" s="5"/>
      <c r="L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6"/>
      <c r="J214" s="5"/>
      <c r="K214" s="5"/>
      <c r="L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6"/>
      <c r="J215" s="5"/>
      <c r="K215" s="5"/>
      <c r="L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6"/>
      <c r="J216" s="5"/>
      <c r="K216" s="5"/>
      <c r="L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6"/>
      <c r="J217" s="5"/>
      <c r="K217" s="5"/>
      <c r="L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6"/>
      <c r="J218" s="5"/>
      <c r="K218" s="5"/>
      <c r="L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6"/>
      <c r="J219" s="5"/>
      <c r="K219" s="5"/>
      <c r="L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6"/>
      <c r="J220" s="5"/>
      <c r="K220" s="5"/>
      <c r="L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6"/>
      <c r="J221" s="5"/>
      <c r="K221" s="5"/>
      <c r="L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6"/>
      <c r="J222" s="5"/>
      <c r="K222" s="5"/>
      <c r="L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6"/>
      <c r="J223" s="5"/>
      <c r="K223" s="5"/>
      <c r="L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6"/>
      <c r="J224" s="5"/>
      <c r="K224" s="5"/>
      <c r="L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6"/>
      <c r="J225" s="5"/>
      <c r="K225" s="5"/>
      <c r="L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6"/>
      <c r="J226" s="5"/>
      <c r="K226" s="5"/>
      <c r="L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6"/>
      <c r="J227" s="5"/>
      <c r="K227" s="5"/>
      <c r="L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6"/>
      <c r="J228" s="5"/>
      <c r="K228" s="5"/>
      <c r="L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6"/>
      <c r="J229" s="5"/>
      <c r="K229" s="5"/>
      <c r="L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6"/>
      <c r="J230" s="5"/>
      <c r="K230" s="5"/>
      <c r="L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6"/>
      <c r="J231" s="5"/>
      <c r="K231" s="5"/>
      <c r="L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6"/>
      <c r="J232" s="5"/>
      <c r="K232" s="5"/>
      <c r="L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6"/>
      <c r="J233" s="5"/>
      <c r="K233" s="5"/>
      <c r="L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6"/>
      <c r="J234" s="5"/>
      <c r="K234" s="5"/>
      <c r="L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6"/>
      <c r="J235" s="5"/>
      <c r="K235" s="5"/>
      <c r="L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6"/>
      <c r="J236" s="5"/>
      <c r="K236" s="5"/>
      <c r="L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6"/>
      <c r="J237" s="5"/>
      <c r="K237" s="5"/>
      <c r="L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6"/>
      <c r="J238" s="5"/>
      <c r="K238" s="5"/>
      <c r="L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6"/>
      <c r="J239" s="5"/>
      <c r="K239" s="5"/>
      <c r="L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6"/>
      <c r="J240" s="5"/>
      <c r="K240" s="5"/>
      <c r="L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6"/>
      <c r="J241" s="5"/>
      <c r="K241" s="5"/>
      <c r="L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6"/>
      <c r="J242" s="5"/>
      <c r="K242" s="5"/>
      <c r="L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6"/>
      <c r="J243" s="5"/>
      <c r="K243" s="5"/>
      <c r="L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6"/>
      <c r="J244" s="5"/>
      <c r="K244" s="5"/>
      <c r="L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6"/>
      <c r="J245" s="5"/>
      <c r="K245" s="5"/>
      <c r="L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6"/>
      <c r="J246" s="5"/>
      <c r="K246" s="5"/>
      <c r="L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6"/>
      <c r="J247" s="5"/>
      <c r="K247" s="5"/>
      <c r="L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6"/>
      <c r="J248" s="5"/>
      <c r="K248" s="5"/>
      <c r="L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6"/>
      <c r="J249" s="5"/>
      <c r="K249" s="5"/>
      <c r="L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6"/>
      <c r="J250" s="5"/>
      <c r="K250" s="5"/>
      <c r="L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6"/>
      <c r="J251" s="5"/>
      <c r="K251" s="5"/>
      <c r="L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6"/>
      <c r="J252" s="5"/>
      <c r="K252" s="5"/>
      <c r="L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6"/>
      <c r="J253" s="5"/>
      <c r="K253" s="5"/>
      <c r="L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6"/>
      <c r="J254" s="5"/>
      <c r="K254" s="5"/>
      <c r="L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6"/>
      <c r="J255" s="5"/>
      <c r="K255" s="5"/>
      <c r="L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6"/>
      <c r="J256" s="5"/>
      <c r="K256" s="5"/>
      <c r="L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6"/>
      <c r="J257" s="5"/>
      <c r="K257" s="5"/>
      <c r="L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6"/>
      <c r="J258" s="5"/>
      <c r="K258" s="5"/>
      <c r="L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6"/>
      <c r="J259" s="5"/>
      <c r="K259" s="5"/>
      <c r="L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6"/>
      <c r="J260" s="5"/>
      <c r="K260" s="5"/>
      <c r="L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6"/>
      <c r="J261" s="5"/>
      <c r="K261" s="5"/>
      <c r="L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6"/>
      <c r="J262" s="5"/>
      <c r="K262" s="5"/>
      <c r="L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6"/>
      <c r="J263" s="5"/>
      <c r="K263" s="5"/>
      <c r="L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6"/>
      <c r="J264" s="5"/>
      <c r="K264" s="5"/>
      <c r="L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6"/>
      <c r="J265" s="5"/>
      <c r="K265" s="5"/>
      <c r="L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6"/>
      <c r="J266" s="5"/>
      <c r="K266" s="5"/>
      <c r="L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6"/>
      <c r="J267" s="5"/>
      <c r="K267" s="5"/>
      <c r="L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6"/>
      <c r="J268" s="5"/>
      <c r="K268" s="5"/>
      <c r="L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6"/>
      <c r="J269" s="5"/>
      <c r="K269" s="5"/>
      <c r="L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6"/>
      <c r="J270" s="5"/>
      <c r="K270" s="5"/>
      <c r="L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6"/>
      <c r="J271" s="5"/>
      <c r="K271" s="5"/>
      <c r="L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6"/>
      <c r="J272" s="5"/>
      <c r="K272" s="5"/>
      <c r="L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6"/>
      <c r="J273" s="5"/>
      <c r="K273" s="5"/>
      <c r="L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6"/>
      <c r="J274" s="5"/>
      <c r="K274" s="5"/>
      <c r="L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6"/>
      <c r="J275" s="5"/>
      <c r="K275" s="5"/>
      <c r="L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6"/>
      <c r="J276" s="5"/>
      <c r="K276" s="5"/>
      <c r="L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6"/>
      <c r="J277" s="5"/>
      <c r="K277" s="5"/>
      <c r="L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6"/>
      <c r="J278" s="5"/>
      <c r="K278" s="5"/>
      <c r="L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6"/>
      <c r="J279" s="5"/>
      <c r="K279" s="5"/>
      <c r="L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6"/>
      <c r="J280" s="5"/>
      <c r="K280" s="5"/>
      <c r="L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6"/>
      <c r="J281" s="5"/>
      <c r="K281" s="5"/>
      <c r="L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6"/>
      <c r="J282" s="5"/>
      <c r="K282" s="5"/>
      <c r="L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6"/>
      <c r="J283" s="5"/>
      <c r="K283" s="5"/>
      <c r="L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6"/>
      <c r="J284" s="5"/>
      <c r="K284" s="5"/>
      <c r="L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6"/>
      <c r="J285" s="5"/>
      <c r="K285" s="5"/>
      <c r="L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6"/>
      <c r="J286" s="5"/>
      <c r="K286" s="5"/>
      <c r="L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6"/>
      <c r="J287" s="5"/>
      <c r="K287" s="5"/>
      <c r="L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6"/>
      <c r="J288" s="5"/>
      <c r="K288" s="5"/>
      <c r="L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6"/>
      <c r="J289" s="5"/>
      <c r="K289" s="5"/>
      <c r="L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6"/>
      <c r="J290" s="5"/>
      <c r="K290" s="5"/>
      <c r="L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6"/>
      <c r="J291" s="5"/>
      <c r="K291" s="5"/>
      <c r="L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6"/>
      <c r="J292" s="5"/>
      <c r="K292" s="5"/>
      <c r="L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6"/>
      <c r="J293" s="5"/>
      <c r="K293" s="5"/>
      <c r="L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6"/>
      <c r="J294" s="5"/>
      <c r="K294" s="5"/>
      <c r="L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6"/>
      <c r="J295" s="5"/>
      <c r="K295" s="5"/>
      <c r="L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6"/>
      <c r="J296" s="5"/>
      <c r="K296" s="5"/>
      <c r="L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6"/>
      <c r="J297" s="5"/>
      <c r="K297" s="5"/>
      <c r="L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6"/>
      <c r="J298" s="5"/>
      <c r="K298" s="5"/>
      <c r="L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6"/>
      <c r="J299" s="5"/>
      <c r="K299" s="5"/>
      <c r="L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6"/>
      <c r="J300" s="5"/>
      <c r="K300" s="5"/>
      <c r="L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6"/>
      <c r="J301" s="5"/>
      <c r="K301" s="5"/>
      <c r="L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6"/>
      <c r="J302" s="5"/>
      <c r="K302" s="5"/>
      <c r="L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6"/>
      <c r="J303" s="5"/>
      <c r="K303" s="5"/>
      <c r="L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6"/>
      <c r="J304" s="5"/>
      <c r="K304" s="5"/>
      <c r="L304" s="5"/>
    </row>
    <row r="305" customFormat="false" ht="1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6"/>
      <c r="J305" s="5"/>
      <c r="K305" s="5"/>
      <c r="L305" s="5"/>
    </row>
    <row r="306" customFormat="false" ht="1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6"/>
      <c r="J306" s="5"/>
      <c r="K306" s="5"/>
      <c r="L306" s="5"/>
    </row>
    <row r="307" customFormat="false" ht="1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6"/>
      <c r="J307" s="5"/>
      <c r="K307" s="5"/>
      <c r="L307" s="5"/>
    </row>
    <row r="308" customFormat="false" ht="1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6"/>
      <c r="J308" s="5"/>
      <c r="K308" s="5"/>
      <c r="L308" s="5"/>
    </row>
    <row r="309" customFormat="false" ht="1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6"/>
      <c r="J309" s="5"/>
      <c r="K309" s="5"/>
      <c r="L309" s="5"/>
    </row>
    <row r="310" customFormat="false" ht="1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6"/>
      <c r="J310" s="5"/>
      <c r="K310" s="5"/>
      <c r="L310" s="5"/>
    </row>
    <row r="311" customFormat="false" ht="1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6"/>
      <c r="J311" s="5"/>
      <c r="K311" s="5"/>
      <c r="L311" s="5"/>
    </row>
    <row r="312" customFormat="false" ht="1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6"/>
      <c r="J312" s="5"/>
      <c r="K312" s="5"/>
      <c r="L312" s="5"/>
    </row>
    <row r="313" customFormat="false" ht="1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6"/>
      <c r="J313" s="5"/>
      <c r="K313" s="5"/>
      <c r="L313" s="5"/>
    </row>
    <row r="314" customFormat="false" ht="1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6"/>
      <c r="J314" s="5"/>
      <c r="K314" s="5"/>
      <c r="L314" s="5"/>
    </row>
    <row r="315" customFormat="false" ht="1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6"/>
      <c r="J315" s="5"/>
      <c r="K315" s="5"/>
      <c r="L315" s="5"/>
    </row>
    <row r="316" customFormat="false" ht="1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6"/>
      <c r="J316" s="5"/>
      <c r="K316" s="5"/>
      <c r="L316" s="5"/>
    </row>
    <row r="317" customFormat="false" ht="1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6"/>
      <c r="J317" s="5"/>
      <c r="K317" s="5"/>
      <c r="L317" s="5"/>
    </row>
    <row r="318" customFormat="false" ht="1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6"/>
      <c r="J318" s="5"/>
      <c r="K318" s="5"/>
      <c r="L318" s="5"/>
    </row>
    <row r="319" customFormat="false" ht="1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6"/>
      <c r="J319" s="5"/>
      <c r="K319" s="5"/>
      <c r="L319" s="5"/>
    </row>
    <row r="320" customFormat="false" ht="1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6"/>
      <c r="J320" s="5"/>
      <c r="K320" s="5"/>
      <c r="L320" s="5"/>
    </row>
    <row r="321" customFormat="false" ht="1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6"/>
      <c r="J321" s="5"/>
      <c r="K321" s="5"/>
      <c r="L321" s="5"/>
    </row>
    <row r="322" customFormat="false" ht="1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6"/>
      <c r="J322" s="5"/>
      <c r="K322" s="5"/>
      <c r="L322" s="5"/>
    </row>
    <row r="323" customFormat="false" ht="1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6"/>
      <c r="J323" s="5"/>
      <c r="K323" s="5"/>
      <c r="L323" s="5"/>
    </row>
    <row r="324" customFormat="false" ht="1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6"/>
      <c r="J324" s="5"/>
      <c r="K324" s="5"/>
      <c r="L324" s="5"/>
    </row>
    <row r="325" customFormat="false" ht="1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6"/>
      <c r="J325" s="5"/>
      <c r="K325" s="5"/>
      <c r="L325" s="5"/>
    </row>
    <row r="326" customFormat="false" ht="1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6"/>
      <c r="J326" s="5"/>
      <c r="K326" s="5"/>
      <c r="L326" s="5"/>
    </row>
    <row r="327" customFormat="false" ht="1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6"/>
      <c r="J327" s="5"/>
      <c r="K327" s="5"/>
      <c r="L327" s="5"/>
    </row>
    <row r="328" customFormat="false" ht="1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6"/>
      <c r="J328" s="5"/>
      <c r="K328" s="5"/>
      <c r="L328" s="5"/>
    </row>
    <row r="329" customFormat="false" ht="1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6"/>
      <c r="J329" s="5"/>
      <c r="K329" s="5"/>
      <c r="L329" s="5"/>
    </row>
    <row r="330" customFormat="false" ht="1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6"/>
      <c r="J330" s="5"/>
      <c r="K330" s="5"/>
      <c r="L330" s="5"/>
    </row>
    <row r="331" customFormat="false" ht="1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6"/>
      <c r="J331" s="5"/>
      <c r="K331" s="5"/>
      <c r="L331" s="5"/>
    </row>
    <row r="332" customFormat="false" ht="1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6"/>
      <c r="J332" s="5"/>
      <c r="K332" s="5"/>
      <c r="L332" s="5"/>
    </row>
    <row r="333" customFormat="false" ht="1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6"/>
      <c r="J333" s="5"/>
      <c r="K333" s="5"/>
      <c r="L333" s="5"/>
    </row>
    <row r="334" customFormat="false" ht="1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6"/>
      <c r="J334" s="5"/>
      <c r="K334" s="5"/>
      <c r="L334" s="5"/>
    </row>
    <row r="335" customFormat="false" ht="1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6"/>
      <c r="J335" s="5"/>
      <c r="K335" s="5"/>
      <c r="L335" s="5"/>
    </row>
    <row r="336" customFormat="false" ht="1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6"/>
      <c r="J336" s="5"/>
      <c r="K336" s="5"/>
      <c r="L336" s="5"/>
    </row>
    <row r="337" customFormat="false" ht="1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6"/>
      <c r="J337" s="5"/>
      <c r="K337" s="5"/>
      <c r="L337" s="5"/>
    </row>
    <row r="338" customFormat="false" ht="1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6"/>
      <c r="J338" s="5"/>
      <c r="K338" s="5"/>
      <c r="L338" s="5"/>
    </row>
    <row r="339" customFormat="false" ht="1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6"/>
      <c r="J339" s="5"/>
      <c r="K339" s="5"/>
      <c r="L339" s="5"/>
    </row>
    <row r="340" customFormat="false" ht="1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6"/>
      <c r="J340" s="5"/>
      <c r="K340" s="5"/>
      <c r="L340" s="5"/>
    </row>
    <row r="341" customFormat="false" ht="1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6"/>
      <c r="J341" s="5"/>
      <c r="K341" s="5"/>
      <c r="L341" s="5"/>
    </row>
    <row r="342" customFormat="false" ht="1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6"/>
      <c r="J342" s="5"/>
      <c r="K342" s="5"/>
      <c r="L342" s="5"/>
    </row>
    <row r="343" customFormat="false" ht="1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6"/>
      <c r="J343" s="5"/>
      <c r="K343" s="5"/>
      <c r="L343" s="5"/>
    </row>
    <row r="344" customFormat="false" ht="1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6"/>
      <c r="J344" s="5"/>
      <c r="K344" s="5"/>
      <c r="L344" s="5"/>
    </row>
    <row r="345" customFormat="false" ht="1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6"/>
      <c r="J345" s="5"/>
      <c r="K345" s="5"/>
      <c r="L345" s="5"/>
    </row>
    <row r="346" customFormat="false" ht="1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6"/>
      <c r="J346" s="5"/>
      <c r="K346" s="5"/>
      <c r="L346" s="5"/>
    </row>
    <row r="347" customFormat="false" ht="1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6"/>
      <c r="J347" s="5"/>
      <c r="K347" s="5"/>
      <c r="L347" s="5"/>
    </row>
    <row r="348" customFormat="false" ht="1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6"/>
      <c r="J348" s="5"/>
      <c r="K348" s="5"/>
      <c r="L348" s="5"/>
    </row>
    <row r="349" customFormat="false" ht="1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6"/>
      <c r="J349" s="5"/>
      <c r="K349" s="5"/>
      <c r="L349" s="5"/>
    </row>
    <row r="350" customFormat="false" ht="1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6"/>
      <c r="J350" s="5"/>
      <c r="K350" s="5"/>
      <c r="L350" s="5"/>
    </row>
    <row r="351" customFormat="false" ht="1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6"/>
      <c r="J351" s="5"/>
      <c r="K351" s="5"/>
      <c r="L351" s="5"/>
    </row>
    <row r="352" customFormat="false" ht="1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6"/>
      <c r="J352" s="5"/>
      <c r="K352" s="5"/>
      <c r="L352" s="5"/>
    </row>
    <row r="353" customFormat="false" ht="1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6"/>
      <c r="J353" s="5"/>
      <c r="K353" s="5"/>
      <c r="L353" s="5"/>
    </row>
    <row r="354" customFormat="false" ht="1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6"/>
      <c r="J354" s="5"/>
      <c r="K354" s="5"/>
      <c r="L354" s="5"/>
    </row>
    <row r="355" customFormat="false" ht="1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6"/>
      <c r="J355" s="5"/>
      <c r="K355" s="5"/>
      <c r="L355" s="5"/>
    </row>
    <row r="356" customFormat="false" ht="1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6"/>
      <c r="J356" s="5"/>
      <c r="K356" s="5"/>
      <c r="L356" s="5"/>
    </row>
    <row r="357" customFormat="false" ht="1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6"/>
      <c r="J357" s="5"/>
      <c r="K357" s="5"/>
      <c r="L357" s="5"/>
    </row>
    <row r="358" customFormat="false" ht="1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6"/>
      <c r="J358" s="5"/>
      <c r="K358" s="5"/>
      <c r="L358" s="5"/>
    </row>
    <row r="359" customFormat="false" ht="1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6"/>
      <c r="J359" s="5"/>
      <c r="K359" s="5"/>
      <c r="L359" s="5"/>
    </row>
    <row r="360" customFormat="false" ht="1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6"/>
      <c r="J360" s="5"/>
      <c r="K360" s="5"/>
      <c r="L360" s="5"/>
    </row>
    <row r="361" customFormat="false" ht="1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6"/>
      <c r="J361" s="5"/>
      <c r="K361" s="5"/>
      <c r="L361" s="5"/>
    </row>
    <row r="362" customFormat="false" ht="1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6"/>
      <c r="J362" s="5"/>
      <c r="K362" s="5"/>
      <c r="L362" s="5"/>
    </row>
    <row r="363" customFormat="false" ht="1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6"/>
      <c r="J363" s="5"/>
      <c r="K363" s="5"/>
      <c r="L363" s="5"/>
    </row>
    <row r="364" customFormat="false" ht="1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6"/>
      <c r="J364" s="5"/>
      <c r="K364" s="5"/>
      <c r="L364" s="5"/>
    </row>
    <row r="365" customFormat="false" ht="1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6"/>
      <c r="J365" s="5"/>
      <c r="K365" s="5"/>
      <c r="L365" s="5"/>
    </row>
    <row r="366" customFormat="false" ht="1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6"/>
      <c r="J366" s="5"/>
      <c r="K366" s="5"/>
      <c r="L366" s="5"/>
    </row>
    <row r="367" customFormat="false" ht="1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6"/>
      <c r="J367" s="5"/>
      <c r="K367" s="5"/>
      <c r="L367" s="5"/>
    </row>
    <row r="368" customFormat="false" ht="1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6"/>
      <c r="J368" s="5"/>
      <c r="K368" s="5"/>
      <c r="L368" s="5"/>
    </row>
    <row r="369" customFormat="false" ht="1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6"/>
      <c r="J369" s="5"/>
      <c r="K369" s="5"/>
      <c r="L369" s="5"/>
    </row>
    <row r="370" customFormat="false" ht="1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6"/>
      <c r="J370" s="5"/>
      <c r="K370" s="5"/>
      <c r="L370" s="5"/>
    </row>
    <row r="371" customFormat="false" ht="1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6"/>
      <c r="J371" s="5"/>
      <c r="K371" s="5"/>
      <c r="L371" s="5"/>
    </row>
    <row r="372" customFormat="false" ht="1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6"/>
      <c r="J372" s="5"/>
      <c r="K372" s="5"/>
      <c r="L372" s="5"/>
    </row>
    <row r="373" customFormat="false" ht="1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6"/>
      <c r="J373" s="5"/>
      <c r="K373" s="5"/>
      <c r="L373" s="5"/>
    </row>
    <row r="374" customFormat="false" ht="1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6"/>
      <c r="J374" s="5"/>
      <c r="K374" s="5"/>
      <c r="L374" s="5"/>
    </row>
    <row r="375" customFormat="false" ht="1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6"/>
      <c r="J375" s="5"/>
      <c r="K375" s="5"/>
      <c r="L375" s="5"/>
    </row>
    <row r="376" customFormat="false" ht="1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6"/>
      <c r="J376" s="5"/>
      <c r="K376" s="5"/>
      <c r="L376" s="5"/>
    </row>
    <row r="377" customFormat="false" ht="1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6"/>
      <c r="J377" s="5"/>
      <c r="K377" s="5"/>
      <c r="L377" s="5"/>
    </row>
    <row r="378" customFormat="false" ht="1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6"/>
      <c r="J378" s="5"/>
      <c r="K378" s="5"/>
      <c r="L378" s="5"/>
    </row>
    <row r="379" customFormat="false" ht="1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6"/>
      <c r="J379" s="5"/>
      <c r="K379" s="5"/>
      <c r="L379" s="5"/>
    </row>
    <row r="380" customFormat="false" ht="1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6"/>
      <c r="J380" s="5"/>
      <c r="K380" s="5"/>
      <c r="L380" s="5"/>
    </row>
    <row r="381" customFormat="false" ht="1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6"/>
      <c r="J381" s="5"/>
      <c r="K381" s="5"/>
      <c r="L381" s="5"/>
    </row>
    <row r="382" customFormat="false" ht="1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6"/>
      <c r="J382" s="5"/>
      <c r="K382" s="5"/>
      <c r="L382" s="5"/>
    </row>
    <row r="383" customFormat="false" ht="1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6"/>
      <c r="J383" s="5"/>
      <c r="K383" s="5"/>
      <c r="L383" s="5"/>
    </row>
    <row r="384" customFormat="false" ht="1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6"/>
      <c r="J384" s="5"/>
      <c r="K384" s="5"/>
      <c r="L384" s="5"/>
    </row>
    <row r="385" customFormat="false" ht="1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6"/>
      <c r="J385" s="5"/>
      <c r="K385" s="5"/>
      <c r="L385" s="5"/>
    </row>
    <row r="386" customFormat="false" ht="1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6"/>
      <c r="J386" s="5"/>
      <c r="K386" s="5"/>
      <c r="L386" s="5"/>
    </row>
    <row r="387" customFormat="false" ht="1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6"/>
      <c r="J387" s="5"/>
      <c r="K387" s="5"/>
      <c r="L387" s="5"/>
    </row>
    <row r="388" customFormat="false" ht="1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6"/>
      <c r="J388" s="5"/>
      <c r="K388" s="5"/>
      <c r="L388" s="5"/>
    </row>
    <row r="389" customFormat="false" ht="1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6"/>
      <c r="J389" s="5"/>
      <c r="K389" s="5"/>
      <c r="L389" s="5"/>
    </row>
    <row r="390" customFormat="false" ht="1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6"/>
      <c r="J390" s="5"/>
      <c r="K390" s="5"/>
      <c r="L390" s="5"/>
    </row>
    <row r="391" customFormat="false" ht="1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6"/>
      <c r="J391" s="5"/>
      <c r="K391" s="5"/>
      <c r="L391" s="5"/>
    </row>
    <row r="392" customFormat="false" ht="1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6"/>
      <c r="J392" s="5"/>
      <c r="K392" s="5"/>
      <c r="L392" s="5"/>
    </row>
    <row r="393" customFormat="false" ht="1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6"/>
      <c r="J393" s="5"/>
      <c r="K393" s="5"/>
      <c r="L393" s="5"/>
    </row>
    <row r="394" customFormat="false" ht="1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6"/>
      <c r="J394" s="5"/>
      <c r="K394" s="5"/>
      <c r="L394" s="5"/>
    </row>
    <row r="395" customFormat="false" ht="1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6"/>
      <c r="J395" s="5"/>
      <c r="K395" s="5"/>
      <c r="L395" s="5"/>
    </row>
    <row r="396" customFormat="false" ht="1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6"/>
      <c r="J396" s="5"/>
      <c r="K396" s="5"/>
      <c r="L396" s="5"/>
    </row>
    <row r="397" customFormat="false" ht="1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5"/>
    </row>
    <row r="398" customFormat="false" ht="1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6"/>
      <c r="J398" s="5"/>
      <c r="K398" s="5"/>
      <c r="L398" s="5"/>
    </row>
    <row r="399" customFormat="false" ht="1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6"/>
      <c r="J399" s="5"/>
      <c r="K399" s="5"/>
      <c r="L399" s="5"/>
    </row>
    <row r="400" customFormat="false" ht="1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6"/>
      <c r="J400" s="5"/>
      <c r="K400" s="5"/>
      <c r="L400" s="5"/>
    </row>
    <row r="401" customFormat="false" ht="1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6"/>
      <c r="J401" s="5"/>
      <c r="K401" s="5"/>
      <c r="L401" s="5"/>
    </row>
    <row r="402" customFormat="false" ht="1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6"/>
      <c r="J402" s="5"/>
      <c r="K402" s="5"/>
      <c r="L402" s="5"/>
    </row>
    <row r="403" customFormat="false" ht="1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6"/>
      <c r="J403" s="5"/>
      <c r="K403" s="5"/>
      <c r="L403" s="5"/>
    </row>
    <row r="404" customFormat="false" ht="1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6"/>
      <c r="J404" s="5"/>
      <c r="K404" s="5"/>
      <c r="L404" s="5"/>
    </row>
    <row r="405" customFormat="false" ht="1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6"/>
      <c r="J405" s="5"/>
      <c r="K405" s="5"/>
      <c r="L405" s="5"/>
    </row>
    <row r="406" customFormat="false" ht="1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6"/>
      <c r="J406" s="5"/>
      <c r="K406" s="5"/>
      <c r="L406" s="5"/>
    </row>
    <row r="407" customFormat="false" ht="1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6"/>
      <c r="J407" s="5"/>
      <c r="K407" s="5"/>
      <c r="L407" s="5"/>
    </row>
    <row r="408" customFormat="false" ht="1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6"/>
      <c r="J408" s="5"/>
      <c r="K408" s="5"/>
      <c r="L408" s="5"/>
    </row>
    <row r="409" customFormat="false" ht="1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6"/>
      <c r="J409" s="5"/>
      <c r="K409" s="5"/>
      <c r="L409" s="5"/>
    </row>
    <row r="410" customFormat="false" ht="1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6"/>
      <c r="J410" s="5"/>
      <c r="K410" s="5"/>
      <c r="L410" s="5"/>
    </row>
    <row r="411" customFormat="false" ht="1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6"/>
      <c r="J411" s="5"/>
      <c r="K411" s="5"/>
      <c r="L411" s="5"/>
    </row>
    <row r="412" customFormat="false" ht="1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6"/>
      <c r="J412" s="5"/>
      <c r="K412" s="5"/>
      <c r="L412" s="5"/>
    </row>
    <row r="413" customFormat="false" ht="1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6"/>
      <c r="J413" s="5"/>
      <c r="K413" s="5"/>
      <c r="L413" s="5"/>
    </row>
    <row r="414" customFormat="false" ht="1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6"/>
      <c r="J414" s="5"/>
      <c r="K414" s="5"/>
      <c r="L414" s="5"/>
    </row>
    <row r="415" customFormat="false" ht="1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6"/>
      <c r="J415" s="5"/>
      <c r="K415" s="5"/>
      <c r="L415" s="5"/>
    </row>
    <row r="416" customFormat="false" ht="1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6"/>
      <c r="J416" s="5"/>
      <c r="K416" s="5"/>
      <c r="L416" s="5"/>
    </row>
    <row r="417" customFormat="false" ht="1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6"/>
      <c r="J417" s="5"/>
      <c r="K417" s="5"/>
      <c r="L417" s="5"/>
    </row>
    <row r="418" customFormat="false" ht="1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6"/>
      <c r="J418" s="5"/>
      <c r="K418" s="5"/>
      <c r="L418" s="5"/>
    </row>
    <row r="419" customFormat="false" ht="1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6"/>
      <c r="J419" s="5"/>
      <c r="K419" s="5"/>
      <c r="L419" s="5"/>
    </row>
    <row r="420" customFormat="false" ht="1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6"/>
      <c r="J420" s="5"/>
      <c r="K420" s="5"/>
      <c r="L420" s="5"/>
    </row>
    <row r="421" customFormat="false" ht="1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6"/>
      <c r="J421" s="5"/>
      <c r="K421" s="5"/>
      <c r="L421" s="5"/>
    </row>
    <row r="422" customFormat="false" ht="1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6"/>
      <c r="J422" s="5"/>
      <c r="K422" s="5"/>
      <c r="L422" s="5"/>
    </row>
    <row r="423" customFormat="false" ht="1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6"/>
      <c r="J423" s="5"/>
      <c r="K423" s="5"/>
      <c r="L423" s="5"/>
    </row>
    <row r="424" customFormat="false" ht="1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6"/>
      <c r="J424" s="5"/>
      <c r="K424" s="5"/>
      <c r="L424" s="5"/>
    </row>
    <row r="425" customFormat="false" ht="1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6"/>
      <c r="J425" s="5"/>
      <c r="K425" s="5"/>
      <c r="L425" s="5"/>
    </row>
    <row r="426" customFormat="false" ht="1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6"/>
      <c r="J426" s="5"/>
      <c r="K426" s="5"/>
      <c r="L426" s="5"/>
    </row>
    <row r="427" customFormat="false" ht="1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6"/>
      <c r="J427" s="5"/>
      <c r="K427" s="5"/>
      <c r="L427" s="5"/>
    </row>
    <row r="428" customFormat="false" ht="1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6"/>
      <c r="J428" s="5"/>
      <c r="K428" s="5"/>
      <c r="L428" s="5"/>
    </row>
    <row r="429" customFormat="false" ht="1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6"/>
      <c r="J429" s="5"/>
      <c r="K429" s="5"/>
      <c r="L429" s="5"/>
    </row>
    <row r="430" customFormat="false" ht="1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6"/>
      <c r="J430" s="5"/>
      <c r="K430" s="5"/>
      <c r="L430" s="5"/>
    </row>
    <row r="431" customFormat="false" ht="1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6"/>
      <c r="J431" s="5"/>
      <c r="K431" s="5"/>
      <c r="L431" s="5"/>
    </row>
    <row r="432" customFormat="false" ht="1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6"/>
      <c r="J432" s="5"/>
      <c r="K432" s="5"/>
      <c r="L432" s="5"/>
    </row>
    <row r="433" customFormat="false" ht="1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6"/>
      <c r="J433" s="5"/>
      <c r="K433" s="5"/>
      <c r="L433" s="5"/>
    </row>
    <row r="434" customFormat="false" ht="1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6"/>
      <c r="J434" s="5"/>
      <c r="K434" s="5"/>
      <c r="L434" s="5"/>
    </row>
    <row r="435" customFormat="false" ht="1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6"/>
      <c r="J435" s="5"/>
      <c r="K435" s="5"/>
      <c r="L435" s="5"/>
    </row>
    <row r="436" customFormat="false" ht="1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6"/>
      <c r="J436" s="5"/>
      <c r="K436" s="5"/>
      <c r="L436" s="5"/>
    </row>
    <row r="437" customFormat="false" ht="1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6"/>
      <c r="J437" s="5"/>
      <c r="K437" s="5"/>
      <c r="L437" s="5"/>
    </row>
    <row r="438" customFormat="false" ht="1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6"/>
      <c r="J438" s="5"/>
      <c r="K438" s="5"/>
      <c r="L438" s="5"/>
    </row>
    <row r="439" customFormat="false" ht="1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6"/>
      <c r="J439" s="5"/>
      <c r="K439" s="5"/>
      <c r="L439" s="5"/>
    </row>
    <row r="440" customFormat="false" ht="1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6"/>
      <c r="J440" s="5"/>
      <c r="K440" s="5"/>
      <c r="L440" s="5"/>
    </row>
    <row r="441" customFormat="false" ht="1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6"/>
      <c r="J441" s="5"/>
      <c r="K441" s="5"/>
      <c r="L441" s="5"/>
    </row>
    <row r="442" customFormat="false" ht="1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6"/>
      <c r="J442" s="5"/>
      <c r="K442" s="5"/>
      <c r="L442" s="5"/>
    </row>
    <row r="443" customFormat="false" ht="1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6"/>
      <c r="J443" s="5"/>
      <c r="K443" s="5"/>
      <c r="L443" s="5"/>
    </row>
    <row r="444" customFormat="false" ht="1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6"/>
      <c r="J444" s="5"/>
      <c r="K444" s="5"/>
      <c r="L444" s="5"/>
    </row>
    <row r="445" customFormat="false" ht="1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6"/>
      <c r="J445" s="5"/>
      <c r="K445" s="5"/>
      <c r="L445" s="5"/>
    </row>
    <row r="446" customFormat="false" ht="1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6"/>
      <c r="J446" s="5"/>
      <c r="K446" s="5"/>
      <c r="L446" s="5"/>
    </row>
    <row r="447" customFormat="false" ht="1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6"/>
      <c r="J447" s="5"/>
      <c r="K447" s="5"/>
      <c r="L447" s="5"/>
    </row>
    <row r="448" customFormat="false" ht="1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6"/>
      <c r="J448" s="5"/>
      <c r="K448" s="5"/>
      <c r="L448" s="5"/>
    </row>
    <row r="449" customFormat="false" ht="1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6"/>
      <c r="J449" s="5"/>
      <c r="K449" s="5"/>
      <c r="L449" s="5"/>
    </row>
    <row r="450" customFormat="false" ht="1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6"/>
      <c r="J450" s="5"/>
      <c r="K450" s="5"/>
      <c r="L450" s="5"/>
    </row>
    <row r="451" customFormat="false" ht="1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6"/>
      <c r="J451" s="5"/>
      <c r="K451" s="5"/>
      <c r="L451" s="5"/>
    </row>
    <row r="452" customFormat="false" ht="1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6"/>
      <c r="J452" s="5"/>
      <c r="K452" s="5"/>
      <c r="L452" s="5"/>
    </row>
    <row r="453" customFormat="false" ht="1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6"/>
      <c r="J453" s="5"/>
      <c r="K453" s="5"/>
      <c r="L453" s="5"/>
    </row>
    <row r="454" customFormat="false" ht="1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6"/>
      <c r="J454" s="5"/>
      <c r="K454" s="5"/>
      <c r="L454" s="5"/>
    </row>
    <row r="455" customFormat="false" ht="1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6"/>
      <c r="J455" s="5"/>
      <c r="K455" s="5"/>
      <c r="L455" s="5"/>
    </row>
    <row r="456" customFormat="false" ht="1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6"/>
      <c r="J456" s="5"/>
      <c r="K456" s="5"/>
      <c r="L456" s="5"/>
    </row>
    <row r="457" customFormat="false" ht="1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6"/>
      <c r="J457" s="5"/>
      <c r="K457" s="5"/>
      <c r="L457" s="5"/>
    </row>
    <row r="458" customFormat="false" ht="1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6"/>
      <c r="J458" s="5"/>
      <c r="K458" s="5"/>
      <c r="L458" s="5"/>
    </row>
    <row r="459" customFormat="false" ht="1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6"/>
      <c r="J459" s="5"/>
      <c r="K459" s="5"/>
      <c r="L459" s="5"/>
    </row>
    <row r="460" customFormat="false" ht="1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6"/>
      <c r="J460" s="5"/>
      <c r="K460" s="5"/>
      <c r="L460" s="5"/>
    </row>
    <row r="461" customFormat="false" ht="1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6"/>
      <c r="J461" s="5"/>
      <c r="K461" s="5"/>
      <c r="L461" s="5"/>
    </row>
    <row r="462" customFormat="false" ht="1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6"/>
      <c r="J462" s="5"/>
      <c r="K462" s="5"/>
      <c r="L462" s="5"/>
    </row>
    <row r="463" customFormat="false" ht="1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6"/>
      <c r="J463" s="5"/>
      <c r="K463" s="5"/>
      <c r="L463" s="5"/>
    </row>
    <row r="464" customFormat="false" ht="1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6"/>
      <c r="J464" s="5"/>
      <c r="K464" s="5"/>
      <c r="L464" s="5"/>
    </row>
    <row r="465" customFormat="false" ht="1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6"/>
      <c r="J465" s="5"/>
      <c r="K465" s="5"/>
      <c r="L465" s="5"/>
    </row>
    <row r="466" customFormat="false" ht="1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6"/>
      <c r="J466" s="5"/>
      <c r="K466" s="5"/>
      <c r="L466" s="5"/>
    </row>
    <row r="467" customFormat="false" ht="1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6"/>
      <c r="J467" s="5"/>
      <c r="K467" s="5"/>
      <c r="L467" s="5"/>
    </row>
    <row r="468" customFormat="false" ht="1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6"/>
      <c r="J468" s="5"/>
      <c r="K468" s="5"/>
      <c r="L468" s="5"/>
    </row>
    <row r="469" customFormat="false" ht="1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6"/>
      <c r="J469" s="5"/>
      <c r="K469" s="5"/>
      <c r="L469" s="5"/>
    </row>
    <row r="470" customFormat="false" ht="1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6"/>
      <c r="J470" s="5"/>
      <c r="K470" s="5"/>
      <c r="L470" s="5"/>
    </row>
    <row r="471" customFormat="false" ht="1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6"/>
      <c r="J471" s="5"/>
      <c r="K471" s="5"/>
      <c r="L471" s="5"/>
    </row>
    <row r="472" customFormat="false" ht="1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6"/>
      <c r="J472" s="5"/>
      <c r="K472" s="5"/>
      <c r="L472" s="5"/>
    </row>
    <row r="473" customFormat="false" ht="1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6"/>
      <c r="J473" s="5"/>
      <c r="K473" s="5"/>
      <c r="L473" s="5"/>
    </row>
    <row r="474" customFormat="false" ht="1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6"/>
      <c r="J474" s="5"/>
      <c r="K474" s="5"/>
      <c r="L474" s="5"/>
    </row>
    <row r="475" customFormat="false" ht="1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6"/>
      <c r="J475" s="5"/>
      <c r="K475" s="5"/>
      <c r="L475" s="5"/>
    </row>
    <row r="476" customFormat="false" ht="1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6"/>
      <c r="J476" s="5"/>
      <c r="K476" s="5"/>
      <c r="L476" s="5"/>
    </row>
    <row r="477" customFormat="false" ht="1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6"/>
      <c r="J477" s="5"/>
      <c r="K477" s="5"/>
      <c r="L477" s="5"/>
    </row>
    <row r="478" customFormat="false" ht="1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6"/>
      <c r="J478" s="5"/>
      <c r="K478" s="5"/>
      <c r="L478" s="5"/>
    </row>
    <row r="479" customFormat="false" ht="1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6"/>
      <c r="J479" s="5"/>
      <c r="K479" s="5"/>
      <c r="L479" s="5"/>
    </row>
    <row r="480" customFormat="false" ht="1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6"/>
      <c r="J480" s="5"/>
      <c r="K480" s="5"/>
      <c r="L480" s="5"/>
    </row>
    <row r="481" customFormat="false" ht="1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6"/>
      <c r="J481" s="5"/>
      <c r="K481" s="5"/>
      <c r="L481" s="5"/>
    </row>
    <row r="482" customFormat="false" ht="1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6"/>
      <c r="J482" s="5"/>
      <c r="K482" s="5"/>
      <c r="L482" s="5"/>
    </row>
    <row r="483" customFormat="false" ht="1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6"/>
      <c r="J483" s="5"/>
      <c r="K483" s="5"/>
      <c r="L483" s="5"/>
    </row>
    <row r="484" customFormat="false" ht="1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6"/>
      <c r="J484" s="5"/>
      <c r="K484" s="5"/>
      <c r="L484" s="5"/>
    </row>
    <row r="485" customFormat="false" ht="1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6"/>
      <c r="J485" s="5"/>
      <c r="K485" s="5"/>
      <c r="L485" s="5"/>
    </row>
    <row r="486" customFormat="false" ht="1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6"/>
      <c r="J486" s="5"/>
      <c r="K486" s="5"/>
      <c r="L486" s="5"/>
    </row>
    <row r="487" customFormat="false" ht="1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6"/>
      <c r="J487" s="5"/>
      <c r="K487" s="5"/>
      <c r="L487" s="5"/>
    </row>
    <row r="488" customFormat="false" ht="1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6"/>
      <c r="J488" s="5"/>
      <c r="K488" s="5"/>
      <c r="L488" s="5"/>
    </row>
    <row r="489" customFormat="false" ht="1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6"/>
      <c r="J489" s="5"/>
      <c r="K489" s="5"/>
      <c r="L489" s="5"/>
    </row>
    <row r="490" customFormat="false" ht="1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6"/>
      <c r="J490" s="5"/>
      <c r="K490" s="5"/>
      <c r="L490" s="5"/>
    </row>
    <row r="491" customFormat="false" ht="1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6"/>
      <c r="J491" s="5"/>
      <c r="K491" s="5"/>
      <c r="L491" s="5"/>
    </row>
    <row r="492" customFormat="false" ht="1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6"/>
      <c r="J492" s="5"/>
      <c r="K492" s="5"/>
      <c r="L492" s="5"/>
    </row>
    <row r="493" customFormat="false" ht="1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6"/>
      <c r="J493" s="5"/>
      <c r="K493" s="5"/>
      <c r="L493" s="5"/>
    </row>
    <row r="494" customFormat="false" ht="1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6"/>
      <c r="J494" s="5"/>
      <c r="K494" s="5"/>
      <c r="L494" s="5"/>
    </row>
    <row r="495" customFormat="false" ht="1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6"/>
      <c r="J495" s="5"/>
      <c r="K495" s="5"/>
      <c r="L495" s="5"/>
    </row>
    <row r="496" customFormat="false" ht="1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6"/>
      <c r="J496" s="5"/>
      <c r="K496" s="5"/>
      <c r="L496" s="5"/>
    </row>
    <row r="497" customFormat="false" ht="1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6"/>
      <c r="J497" s="5"/>
      <c r="K497" s="5"/>
      <c r="L497" s="5"/>
    </row>
    <row r="498" customFormat="false" ht="1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6"/>
      <c r="J498" s="5"/>
      <c r="K498" s="5"/>
      <c r="L498" s="5"/>
    </row>
    <row r="499" customFormat="false" ht="1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6"/>
      <c r="J499" s="5"/>
      <c r="K499" s="5"/>
      <c r="L499" s="5"/>
    </row>
    <row r="500" customFormat="false" ht="1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6"/>
      <c r="J500" s="5"/>
      <c r="K500" s="5"/>
      <c r="L500" s="5"/>
    </row>
  </sheetData>
  <conditionalFormatting sqref="K2:K500">
    <cfRule type="cellIs" priority="2" operator="equal" aboveAverage="0" equalAverage="0" bottom="0" percent="0" rank="0" text="" dxfId="5">
      <formula>"Nouveau"</formula>
    </cfRule>
    <cfRule type="cellIs" priority="3" operator="equal" aboveAverage="0" equalAverage="0" bottom="0" percent="0" rank="0" text="" dxfId="6">
      <formula>"Contacté"</formula>
    </cfRule>
    <cfRule type="cellIs" priority="4" operator="equal" aboveAverage="0" equalAverage="0" bottom="0" percent="0" rank="0" text="" dxfId="7">
      <formula>"Devis envoyé"</formula>
    </cfRule>
    <cfRule type="cellIs" priority="5" operator="equal" aboveAverage="0" equalAverage="0" bottom="0" percent="0" rank="0" text="" dxfId="8">
      <formula>"Confirmé"</formula>
    </cfRule>
    <cfRule type="cellIs" priority="6" operator="equal" aboveAverage="0" equalAverage="0" bottom="0" percent="0" rank="0" text="" dxfId="9">
      <formula>"Perdu"</formula>
    </cfRule>
  </conditionalFormatting>
  <dataValidations count="1">
    <dataValidation allowBlank="true" errorStyle="stop" operator="between" showDropDown="false" showErrorMessage="false" showInputMessage="false" sqref="K2:K500" type="list">
      <formula1>"Nouveau,Contacté,Devis envoyé,Confirmé,Perdu"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2"/>
    <col collapsed="false" customWidth="true" hidden="false" outlineLevel="0" max="4" min="4" style="1" width="16"/>
  </cols>
  <sheetData>
    <row r="1" customFormat="false" ht="17.35" hidden="false" customHeight="false" outlineLevel="0" collapsed="false">
      <c r="A1" s="7" t="s">
        <v>22</v>
      </c>
      <c r="B1" s="7"/>
      <c r="C1" s="7"/>
      <c r="D1" s="7"/>
    </row>
    <row r="3" customFormat="false" ht="15" hidden="false" customHeight="false" outlineLevel="0" collapsed="false">
      <c r="A3" s="8" t="s">
        <v>23</v>
      </c>
      <c r="B3" s="8"/>
      <c r="C3" s="8"/>
      <c r="D3" s="9" t="n">
        <f aca="false">COUNTA(Demandes!A3:A500)</f>
        <v>0</v>
      </c>
    </row>
    <row r="5" customFormat="false" ht="15" hidden="false" customHeight="false" outlineLevel="0" collapsed="false">
      <c r="A5" s="8" t="s">
        <v>24</v>
      </c>
      <c r="B5" s="8"/>
      <c r="C5" s="8"/>
      <c r="D5" s="9" t="n">
        <f aca="false">COUNTIF(Demandes!K3:K500,"Nouveau")</f>
        <v>0</v>
      </c>
    </row>
    <row r="7" customFormat="false" ht="15" hidden="false" customHeight="false" outlineLevel="0" collapsed="false">
      <c r="A7" s="8" t="s">
        <v>25</v>
      </c>
      <c r="B7" s="8"/>
      <c r="C7" s="8"/>
      <c r="D7" s="9" t="n">
        <f aca="false">COUNTIF(Demandes!K3:K500,"Contacté")</f>
        <v>0</v>
      </c>
    </row>
    <row r="9" customFormat="false" ht="15" hidden="false" customHeight="false" outlineLevel="0" collapsed="false">
      <c r="A9" s="8" t="s">
        <v>26</v>
      </c>
      <c r="B9" s="8"/>
      <c r="C9" s="8"/>
      <c r="D9" s="9" t="n">
        <f aca="false">COUNTIF(Demandes!K3:K500,"Devis envoyé")</f>
        <v>0</v>
      </c>
    </row>
    <row r="11" customFormat="false" ht="15" hidden="false" customHeight="false" outlineLevel="0" collapsed="false">
      <c r="A11" s="8" t="s">
        <v>27</v>
      </c>
      <c r="B11" s="8"/>
      <c r="C11" s="8"/>
      <c r="D11" s="9" t="n">
        <f aca="false">COUNTIF(Demandes!K3:K500,"Confirmé")</f>
        <v>0</v>
      </c>
    </row>
    <row r="13" customFormat="false" ht="15" hidden="false" customHeight="false" outlineLevel="0" collapsed="false">
      <c r="A13" s="8" t="s">
        <v>28</v>
      </c>
      <c r="B13" s="8"/>
      <c r="C13" s="8"/>
      <c r="D13" s="9" t="n">
        <f aca="false">COUNTIF(Demandes!K3:K500,"Perdu")</f>
        <v>0</v>
      </c>
    </row>
    <row r="15" customFormat="false" ht="15" hidden="false" customHeight="false" outlineLevel="0" collapsed="false">
      <c r="A15" s="8" t="s">
        <v>29</v>
      </c>
      <c r="B15" s="8"/>
      <c r="C15" s="8"/>
      <c r="D15" s="10" t="n">
        <f aca="false">SUMIF(Demandes!K3:K500,"Confirmé",Demandes!I3:I500)</f>
        <v>0</v>
      </c>
    </row>
    <row r="17" customFormat="false" ht="15" hidden="false" customHeight="false" outlineLevel="0" collapsed="false">
      <c r="A17" s="8" t="s">
        <v>30</v>
      </c>
      <c r="B17" s="8"/>
      <c r="C17" s="8"/>
      <c r="D17" s="10" t="n">
        <f aca="false">SUMIFS(Demandes!I3:I500,Demandes!K3:K500,"&lt;&gt;Confirmé",Demandes!K3:K500,"&lt;&gt;Perdu")</f>
        <v>0</v>
      </c>
    </row>
  </sheetData>
  <mergeCells count="9">
    <mergeCell ref="A1:D1"/>
    <mergeCell ref="A3:C3"/>
    <mergeCell ref="A5:C5"/>
    <mergeCell ref="A7:C7"/>
    <mergeCell ref="A9:C9"/>
    <mergeCell ref="A11:C11"/>
    <mergeCell ref="A13:C13"/>
    <mergeCell ref="A15:C15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6.15" hidden="false" customHeight="false" outlineLevel="0" collapsed="false">
      <c r="A1" s="11" t="s">
        <v>31</v>
      </c>
    </row>
    <row r="2" customFormat="false" ht="15" hidden="false" customHeight="false" outlineLevel="0" collapsed="false">
      <c r="A2" s="12"/>
    </row>
    <row r="3" customFormat="false" ht="15" hidden="false" customHeight="false" outlineLevel="0" collapsed="false">
      <c r="A3" s="12" t="s">
        <v>32</v>
      </c>
    </row>
    <row r="4" customFormat="false" ht="15" hidden="false" customHeight="false" outlineLevel="0" collapsed="false">
      <c r="A4" s="12" t="s">
        <v>33</v>
      </c>
    </row>
    <row r="5" customFormat="false" ht="15" hidden="false" customHeight="false" outlineLevel="0" collapsed="false">
      <c r="A5" s="12" t="s">
        <v>34</v>
      </c>
    </row>
    <row r="6" customFormat="false" ht="15" hidden="false" customHeight="false" outlineLevel="0" collapsed="false">
      <c r="A6" s="12" t="s">
        <v>35</v>
      </c>
    </row>
    <row r="7" customFormat="false" ht="15" hidden="false" customHeight="false" outlineLevel="0" collapsed="false">
      <c r="A7" s="12"/>
    </row>
    <row r="8" customFormat="false" ht="15" hidden="false" customHeight="false" outlineLevel="0" collapsed="false">
      <c r="A8" s="12" t="s">
        <v>36</v>
      </c>
    </row>
    <row r="9" customFormat="false" ht="15" hidden="false" customHeight="false" outlineLevel="0" collapsed="false">
      <c r="A9" s="12" t="s">
        <v>37</v>
      </c>
    </row>
    <row r="10" customFormat="false" ht="15" hidden="false" customHeight="false" outlineLevel="0" collapsed="false">
      <c r="A10" s="12"/>
    </row>
    <row r="11" customFormat="false" ht="15" hidden="false" customHeight="false" outlineLevel="0" collapsed="false">
      <c r="A11" s="13" t="s">
        <v>38</v>
      </c>
    </row>
    <row r="12" customFormat="false" ht="15" hidden="false" customHeight="false" outlineLevel="0" collapsed="false">
      <c r="A12" s="12" t="s">
        <v>39</v>
      </c>
    </row>
    <row r="13" customFormat="false" ht="15" hidden="false" customHeight="false" outlineLevel="0" collapsed="false">
      <c r="A13" s="12" t="s">
        <v>40</v>
      </c>
    </row>
    <row r="14" customFormat="false" ht="15" hidden="false" customHeight="false" outlineLevel="0" collapsed="false">
      <c r="A14" s="12" t="s">
        <v>41</v>
      </c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2" t="s">
        <v>42</v>
      </c>
    </row>
    <row r="17" customFormat="false" ht="15" hidden="false" customHeight="false" outlineLevel="0" collapsed="false">
      <c r="A17" s="12" t="s">
        <v>43</v>
      </c>
    </row>
    <row r="18" customFormat="false" ht="15" hidden="false" customHeight="false" outlineLevel="0" collapsed="false">
      <c r="A18" s="12" t="s">
        <v>44</v>
      </c>
    </row>
    <row r="19" customFormat="false" ht="15" hidden="false" customHeight="false" outlineLevel="0" collapsed="false">
      <c r="A19" s="1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2026-07-29T15:33:13Z</dcterms:created>
  <dc:creator>openpyxl</dc:creator>
  <dc:description/>
  <dc:language>en-US</dc:language>
  <cp:lastModifiedBy/>
  <dcterms:modified xsi:type="dcterms:W3CDTF">2026-07-29T15:33:13Z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